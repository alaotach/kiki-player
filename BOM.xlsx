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aloo\Downloads\"/>
    </mc:Choice>
  </mc:AlternateContent>
  <xr:revisionPtr revIDLastSave="0" documentId="13_ncr:1_{7B681C59-D611-49AA-A0BE-FA7ACC312751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3" i="1"/>
  <c r="F4" i="1"/>
  <c r="F2" i="1"/>
</calcChain>
</file>

<file path=xl/sharedStrings.xml><?xml version="1.0" encoding="utf-8"?>
<sst xmlns="http://schemas.openxmlformats.org/spreadsheetml/2006/main" count="95" uniqueCount="90">
  <si>
    <t>Comment</t>
  </si>
  <si>
    <t>Designator</t>
  </si>
  <si>
    <t>Footprint</t>
  </si>
  <si>
    <t>U1</t>
  </si>
  <si>
    <t>10uF</t>
  </si>
  <si>
    <t>5.1k Ohm</t>
  </si>
  <si>
    <t>10k Ohm</t>
  </si>
  <si>
    <t>100k Ohm</t>
  </si>
  <si>
    <t>PCM5102A</t>
  </si>
  <si>
    <t>U5</t>
  </si>
  <si>
    <t>U7</t>
  </si>
  <si>
    <t>DS3231M</t>
  </si>
  <si>
    <t>SW_PUSH</t>
  </si>
  <si>
    <t>SW3, SW4</t>
  </si>
  <si>
    <t>LS1</t>
  </si>
  <si>
    <t>J2</t>
  </si>
  <si>
    <t>MGC3130-I/MQ</t>
  </si>
  <si>
    <t>MAX98357A</t>
  </si>
  <si>
    <t>U6</t>
  </si>
  <si>
    <t>SD_CARD_DEVICE</t>
  </si>
  <si>
    <t>J4</t>
  </si>
  <si>
    <t>AudioPlug3</t>
  </si>
  <si>
    <t>J3</t>
  </si>
  <si>
    <t>J5</t>
  </si>
  <si>
    <t>Conn_02x01</t>
  </si>
  <si>
    <t>AMS1117-3.3</t>
  </si>
  <si>
    <t>U8</t>
  </si>
  <si>
    <t>U9</t>
  </si>
  <si>
    <t>TP4056-42-ESOP8</t>
  </si>
  <si>
    <t>LED</t>
  </si>
  <si>
    <t>CR2013-MI2120</t>
  </si>
  <si>
    <t>U4</t>
  </si>
  <si>
    <t>ESP32-S3-WROOM-1</t>
  </si>
  <si>
    <t>Crystal</t>
  </si>
  <si>
    <t>Y1</t>
  </si>
  <si>
    <t>100nF</t>
  </si>
  <si>
    <t>1.2k Ohm</t>
  </si>
  <si>
    <t>R11, R12</t>
  </si>
  <si>
    <t>D3, D4</t>
  </si>
  <si>
    <t>R5, R4</t>
  </si>
  <si>
    <t>C21, C9, C18, C19, C17, C16</t>
  </si>
  <si>
    <t>Voltage Devider</t>
  </si>
  <si>
    <t>RN2</t>
  </si>
  <si>
    <t>R14, R15</t>
  </si>
  <si>
    <t>R13, R6, R3, R14</t>
  </si>
  <si>
    <t>C20, C22, C14, C15, C13, C12</t>
  </si>
  <si>
    <t>12pF</t>
  </si>
  <si>
    <t>Capacitor_SMD:C_603_1608Metric</t>
  </si>
  <si>
    <t>Resistor_SMD:R_0603_1608Metric</t>
  </si>
  <si>
    <t>Package_SO:TSSOP-20_4.4x6.5mm_P0.65mm</t>
  </si>
  <si>
    <t>Package_SO:SOIC-16W_7.5x10.3mm_P1.27mm</t>
  </si>
  <si>
    <t>Button_Switch_SMD:SW_Push_1TS009xxxx-xxxx-xxxx_6x6x5mm</t>
  </si>
  <si>
    <t>Package_QFP:TQFP-32_7x7mm_P0.8mm</t>
  </si>
  <si>
    <t>Package_DFN_QFN:TQFN-16-1EP_3x3mm_P0.5mm_EP1.23x1.23mm</t>
  </si>
  <si>
    <t>Connector_Card:microSD_HC_Hirose_DM3D-SF</t>
  </si>
  <si>
    <t>Connector_Audio:Jack_3.5mm_CUI_SJ-3524-SMT_Horizontal</t>
  </si>
  <si>
    <t>Speaker</t>
  </si>
  <si>
    <t>Connector_PinHeader_2.54mm:PinHeader_1x02_p2.54mm_Vertical</t>
  </si>
  <si>
    <t>Connector_PinHeader_2.54mm:PinHeader_1x02_p2.54mm_Horizontal</t>
  </si>
  <si>
    <t>Package_TO_SOT_SMD:SOT-223-3_TabPin2</t>
  </si>
  <si>
    <t>Package_SO:SOIC-8-1EP_3.9x4.9mm_P1.27mm_EP2.41x3.3mm_ThermalVias</t>
  </si>
  <si>
    <t>LED_SMD:LED_0603_1608Metric</t>
  </si>
  <si>
    <t>Display:CR2013-MI2120</t>
  </si>
  <si>
    <t>RF_Module:ESP32-s3-WROOM-1</t>
  </si>
  <si>
    <t>Crystal:Crystal_SMD_3225-4Pin_3.2x2.5mm</t>
  </si>
  <si>
    <t>Resistor_SMD:R_Array_Convex_2x0603</t>
  </si>
  <si>
    <t>C7, C8</t>
  </si>
  <si>
    <t>Unit Price</t>
  </si>
  <si>
    <t>Total Price</t>
  </si>
  <si>
    <t>URL</t>
  </si>
  <si>
    <t>1000 mAh battery</t>
  </si>
  <si>
    <t xml:space="preserve">Qty </t>
  </si>
  <si>
    <t>https://projectpoint.in/index.php?route=product/product&amp;product_id=636107122</t>
  </si>
  <si>
    <t>https://projectpoint.in/index.php?route=product%2Fproduct&amp;product_id=501120042917&amp;path=0_500847329065_891256607_1451314698_502700971727</t>
  </si>
  <si>
    <t>https://projectpoint.in/index.php?route=product%2Fproduct&amp;product_id=500002336088&amp;path=0_500847329065_494689694_501199016986_500938303558</t>
  </si>
  <si>
    <t>https://projectpoint.in/index.php?route=product%2Fproduct&amp;product_id=501026110855&amp;path=0_500847329065_494689694_501199016986_500938303558</t>
  </si>
  <si>
    <t>https://projectpoint.in/index.php?route=product%2Fproduct&amp;product_id=498359371755&amp;path=0_500847329065_494689694_501199016986_500938303558</t>
  </si>
  <si>
    <t>https://robu.in/product/weact-studio-i2s-speaker-module-pcm5100a/?gad_source=1&amp;gad_campaignid=17416544847&amp;gclid=Cj0KCQjwiJvQBhCYARIsAMjts3LfLMT9SCCPyMx1UMHlrAVZCAe3wTT5_rslGIyfrEgzz2ARsdBP9EIaAlw9EALw_wcB</t>
  </si>
  <si>
    <t>https://www.electropi.in/ds3231-rtc-module-india?gad_source=1&amp;gad_campaignid=23329895947&amp;gclid=Cj0KCQjwiJvQBhCYARIsAMjts3Lag3QSKyQ8wC7S3H3TddhfZnvE6iEL9TXwY5_2q7O-9d03DR9DwbYaAqsMEALw_wcB</t>
  </si>
  <si>
    <t>https://www.electropi.in/push-button-switch-2-pin-5mm?gad_source=1&amp;gad_campaignid=23329895947&amp;gclid=Cj0KCQjwiJvQBhCYARIsAMjts3LLbDzwL19MAW3jqkx0AH-2-OM5d--_daQGv3k3FQn-8rZe0MgGZKEaAuLgEALw_wcB</t>
  </si>
  <si>
    <t>https://robu.in/product/smartelex-digital-speaker-module/</t>
  </si>
  <si>
    <t>https://www.amazon.in/Oceanlabz-MAX98357A-Amplifier-Microphone-Raspberry/dp/B0GT4N822M/ref=asc_df_B0GT4N822M?mcid=584aab94cf2a3b19b3e245cc246ae693&amp;tag=googleshopdes-21&amp;linkCode=df0&amp;hvadid=709857096849&amp;hvpos=&amp;hvnetw=g&amp;hvrand=6434147541182097270&amp;hvpone=&amp;hvptwo=&amp;hvqmt=&amp;hvdev=c&amp;hvdvcmdl=&amp;hvlocint=&amp;hvlocphy=9061677&amp;hvtargid=pla-2479930223916&amp;psc=1&amp;hvocijid=6434147541182097270-B0GT4N822M-&amp;hvexpln=0&amp;gad_source=1</t>
  </si>
  <si>
    <t>https://in.element14.com/hirose-hrs/dm3at-sf-pejm5-40/connector-micro-sd-push-push-smt/dp/1764374</t>
  </si>
  <si>
    <t>https://robu.in/product/audio-jack-pj311-3-5mm-female-connector-black/?gad_source=1&amp;gad_campaignid=17427802703&amp;gclid=Cj0KCQjwiJvQBhCYARIsAMjts3JFNQK85NXV1GlamHmSdQixChEJlTITgLlDEM2xrnPsMCJorKF3GyYaAiOgEALw_wcB</t>
  </si>
  <si>
    <t>https://robu.in/product/ams1117-3-3v-1a-sot-223-voltage-regulator-ic-pack-of-5-ics/?gad_source=1&amp;gad_campaignid=17427802703&amp;gclid=Cj0KCQjwiJvQBhCYARIsAMjts3J5IiN0A7pdy7Hnh6JowvSyV7axVEesU-HcruTaGgoueYhTMZ8GnvwaAn0tEALw_wcB</t>
  </si>
  <si>
    <t>https://robu.in/product/tp4056-1a-li-ion-battery-charging-board-micro-usb-with-current-protection-type-c-connector/?gad_source=1&amp;gad_campaignid=21296336107&amp;gclid=Cj0KCQjwiJvQBhCYARIsAMjts3LyVhPtrEwdLJ3Aq9jyvqr_BV1jFfELa2gCjI1Zp5iAZg8XFljXkSgaAt04EALw_wcB</t>
  </si>
  <si>
    <t>https://www.electropi.in/1.8-inch-tft-lcd-module-128x160-with-4-io</t>
  </si>
  <si>
    <t>https://www.electropi.in/espressif-esp32-s3-wroom-1-n4r8-modules?gad_source=1&amp;gad_campaignid=23329895947&amp;gclid=Cj0KCQjwiJvQBhCYARIsAMjts3IwicdAxzhBrBelyTJ9toAWkm7FiyqzfIm-B8Hs_X8EX3LSaFXvCpkaArrBEALw_wcB</t>
  </si>
  <si>
    <t>https://robu.in/product/ysx321sl-24mhz-12pf-10ppm-4pins-smd-smt-metal-surface-quartz-crystal-pack-of-2/?gad_source=1&amp;gad_campaignid=17427802703&amp;gclid=Cj0KCQjwiJvQBhCYARIsAMjts3JYAF2ZjMGwD-7ejp1mV-APMJYfDS0PZ7kFl9P49L-BbcqgsNGbO-0aAqKtEALw_wcB</t>
  </si>
  <si>
    <t>https://robu.in/product/wly394058-1000mah-3-7v-single-cell-rechargeable-lipo-battery/?gad_source=1&amp;gad_campaignid=17427802559&amp;gclid=Cj0KCQjwiJvQBhCYARIsAMjts3L5Ibl4Tq6YNLHZI8-MC1UaSP3qFMZWy0f03Tv39QN0yKWc45ywXcIaAqJVEALw_wcB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</si>
</sst>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宋体"/>
      <charset val="134"/>
    </font>
    <font>
      <sz val="11"/>
      <color rgb="FF000000"/>
      <name val="Arial"/>
      <charset val="1"/>
    </font>
    <font>
      <b/>
      <sz val="12"/>
      <color rgb="FF000000"/>
      <name val="Arial"/>
      <charset val="134"/>
    </font>
    <font>
      <sz val="11"/>
      <color rgb="FF000000"/>
      <name val="Arial"/>
      <family val="2"/>
    </font>
    <font>
      <sz val="8"/>
      <name val="宋体"/>
      <charset val="134"/>
    </font>
    <font>
      <b/>
      <sz val="11"/>
      <color theme="1"/>
      <name val="Arial"/>
      <family val="2"/>
    </font>
    <font>
      <u/>
      <sz val="11"/>
      <color theme="10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6" fillId="0" borderId="0" xfId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FABA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lectropi.in/push-button-switch-2-pin-5mm?gad_source=1&amp;gad_campaignid=23329895947&amp;gclid=Cj0KCQjwiJvQBhCYARIsAMjts3LLbDzwL19MAW3jqkx0AH-2-OM5d--_daQGv3k3FQn-8rZe0MgGZKEaAuLgEALw_wcB" TargetMode="External"/><Relationship Id="rId13" Type="http://schemas.openxmlformats.org/officeDocument/2006/relationships/hyperlink" Target="https://robu.in/product/ams1117-3-3v-1a-sot-223-voltage-regulator-ic-pack-of-5-ics/?gad_source=1&amp;gad_campaignid=17427802703&amp;gclid=Cj0KCQjwiJvQBhCYARIsAMjts3J5IiN0A7pdy7Hnh6JowvSyV7axVEesU-HcruTaGgoueYhTMZ8GnvwaAn0tEALw_wcB" TargetMode="External"/><Relationship Id="rId3" Type="http://schemas.openxmlformats.org/officeDocument/2006/relationships/hyperlink" Target="https://projectpoint.in/index.php?route=product%2Fproduct&amp;product_id=500002336088&amp;path=0_500847329065_494689694_501199016986_500938303558" TargetMode="External"/><Relationship Id="rId7" Type="http://schemas.openxmlformats.org/officeDocument/2006/relationships/hyperlink" Target="https://www.electropi.in/ds3231-rtc-module-india?gad_source=1&amp;gad_campaignid=23329895947&amp;gclid=Cj0KCQjwiJvQBhCYARIsAMjts3Lag3QSKyQ8wC7S3H3TddhfZnvE6iEL9TXwY5_2q7O-9d03DR9DwbYaAqsMEALw_wcB" TargetMode="External"/><Relationship Id="rId12" Type="http://schemas.openxmlformats.org/officeDocument/2006/relationships/hyperlink" Target="https://robu.in/product/audio-jack-pj311-3-5mm-female-connector-black/?gad_source=1&amp;gad_campaignid=17427802703&amp;gclid=Cj0KCQjwiJvQBhCYARIsAMjts3JFNQK85NXV1GlamHmSdQixChEJlTITgLlDEM2xrnPsMCJorKF3GyYaAiOgEALw_wcB" TargetMode="External"/><Relationship Id="rId2" Type="http://schemas.openxmlformats.org/officeDocument/2006/relationships/hyperlink" Target="https://projectpoint.in/index.php?route=product%2Fproduct&amp;product_id=501120042917&amp;path=0_500847329065_891256607_1451314698_502700971727" TargetMode="External"/><Relationship Id="rId1" Type="http://schemas.openxmlformats.org/officeDocument/2006/relationships/hyperlink" Target="https://projectpoint.in/index.php?route=product/product&amp;product_id=636107122" TargetMode="External"/><Relationship Id="rId6" Type="http://schemas.openxmlformats.org/officeDocument/2006/relationships/hyperlink" Target="https://robu.in/product/weact-studio-i2s-speaker-module-pcm5100a/?gad_source=1&amp;gad_campaignid=17416544847&amp;gclid=Cj0KCQjwiJvQBhCYARIsAMjts3LfLMT9SCCPyMx1UMHlrAVZCAe3wTT5_rslGIyfrEgzz2ARsdBP9EIaAlw9EALw_wcB" TargetMode="External"/><Relationship Id="rId11" Type="http://schemas.openxmlformats.org/officeDocument/2006/relationships/hyperlink" Target="https://in.element14.com/hirose-hrs/dm3at-sf-pejm5-40/connector-micro-sd-push-push-smt/dp/1764374" TargetMode="External"/><Relationship Id="rId5" Type="http://schemas.openxmlformats.org/officeDocument/2006/relationships/hyperlink" Target="https://projectpoint.in/index.php?route=product%2Fproduct&amp;product_id=498359371755&amp;path=0_500847329065_494689694_501199016986_500938303558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www.amazon.in/Oceanlabz-MAX98357A-Amplifier-Microphone-Raspberry/dp/B0GT4N822M/ref=asc_df_B0GT4N822M?mcid=584aab94cf2a3b19b3e245cc246ae693&amp;tag=googleshopdes-21&amp;linkCode=df0&amp;hvadid=709857096849&amp;hvpos=&amp;hvnetw=g&amp;hvrand=6434147541182097270&amp;hvpone=&amp;hvptwo=&amp;hvqmt=&amp;hvdev=c&amp;hvdvcmdl=&amp;hvlocint=&amp;hvlocphy=9061677&amp;hvtargid=pla-2479930223916&amp;psc=1&amp;hvocijid=6434147541182097270-B0GT4N822M-&amp;hvexpln=0&amp;gad_source=1" TargetMode="External"/><Relationship Id="rId4" Type="http://schemas.openxmlformats.org/officeDocument/2006/relationships/hyperlink" Target="https://projectpoint.in/index.php?route=product%2Fproduct&amp;product_id=501026110855&amp;path=0_500847329065_494689694_501199016986_500938303558" TargetMode="External"/><Relationship Id="rId9" Type="http://schemas.openxmlformats.org/officeDocument/2006/relationships/hyperlink" Target="https://robu.in/product/smartelex-digital-speaker-module/" TargetMode="External"/><Relationship Id="rId14" Type="http://schemas.openxmlformats.org/officeDocument/2006/relationships/hyperlink" Target="https://www.electropi.in/espressif-esp32-s3-wroom-1-n4r8-modules?gad_source=1&amp;gad_campaignid=23329895947&amp;gclid=Cj0KCQjwiJvQBhCYARIsAMjts3IwicdAxzhBrBelyTJ9toAWkm7FiyqzfIm-B8Hs_X8EX3LSaFXvCpkaArrBEALw_wc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topLeftCell="A3" zoomScale="81" workbookViewId="0">
      <selection activeCell="E28" sqref="E28"/>
    </sheetView>
  </sheetViews>
  <sheetFormatPr defaultColWidth="8.88671875" defaultRowHeight="19.95" customHeight="1"/>
  <cols>
    <col min="1" max="1" width="35.6640625" style="2" bestFit="1" customWidth="1"/>
    <col min="2" max="2" width="29.21875" bestFit="1" customWidth="1"/>
    <col min="3" max="3" width="74.88671875" bestFit="1" customWidth="1"/>
    <col min="4" max="4" width="4.44140625" bestFit="1" customWidth="1"/>
    <col min="5" max="5" width="10.5546875" bestFit="1" customWidth="1"/>
    <col min="6" max="6" width="11.44140625" bestFit="1" customWidth="1"/>
    <col min="7" max="7" width="5.21875" bestFit="1" customWidth="1"/>
  </cols>
  <sheetData>
    <row r="1" spans="1:7" ht="19.95" customHeight="1">
      <c r="A1" s="3" t="s">
        <v>0</v>
      </c>
      <c r="B1" s="3" t="s">
        <v>1</v>
      </c>
      <c r="C1" s="3" t="s">
        <v>2</v>
      </c>
      <c r="D1" s="6" t="s">
        <v>71</v>
      </c>
      <c r="E1" s="6" t="s">
        <v>67</v>
      </c>
      <c r="F1" s="6" t="s">
        <v>68</v>
      </c>
      <c r="G1" s="6" t="s">
        <v>69</v>
      </c>
    </row>
    <row r="2" spans="1:7" s="1" customFormat="1" ht="19.95" customHeight="1">
      <c r="A2" s="4" t="s">
        <v>35</v>
      </c>
      <c r="B2" s="5" t="s">
        <v>40</v>
      </c>
      <c r="C2" s="5" t="s">
        <v>47</v>
      </c>
      <c r="D2" s="5">
        <v>6</v>
      </c>
      <c r="E2" s="1">
        <v>0.01</v>
      </c>
      <c r="F2" s="7">
        <f>PRODUCT(D2,E2)</f>
        <v>0.06</v>
      </c>
      <c r="G2" s="8" t="s">
        <v>72</v>
      </c>
    </row>
    <row r="3" spans="1:7" s="1" customFormat="1" ht="19.95" customHeight="1">
      <c r="A3" s="4" t="s">
        <v>4</v>
      </c>
      <c r="B3" s="5" t="s">
        <v>45</v>
      </c>
      <c r="C3" s="5" t="s">
        <v>47</v>
      </c>
      <c r="D3" s="5">
        <v>6</v>
      </c>
      <c r="E3" s="1">
        <v>2.5999999999999999E-2</v>
      </c>
      <c r="F3" s="7">
        <f t="shared" ref="F3:F14" si="0">PRODUCT(D3,E3)</f>
        <v>0.156</v>
      </c>
      <c r="G3" s="8" t="s">
        <v>73</v>
      </c>
    </row>
    <row r="4" spans="1:7" s="1" customFormat="1" ht="19.95" customHeight="1">
      <c r="A4" s="4" t="s">
        <v>5</v>
      </c>
      <c r="B4" s="5" t="s">
        <v>39</v>
      </c>
      <c r="C4" s="5" t="s">
        <v>48</v>
      </c>
      <c r="D4" s="5">
        <v>2</v>
      </c>
      <c r="E4" s="1">
        <v>0.01</v>
      </c>
      <c r="F4" s="7">
        <f t="shared" si="0"/>
        <v>0.02</v>
      </c>
      <c r="G4" s="8" t="s">
        <v>74</v>
      </c>
    </row>
    <row r="5" spans="1:7" s="1" customFormat="1" ht="19.95" customHeight="1">
      <c r="A5" s="4" t="s">
        <v>6</v>
      </c>
      <c r="B5" s="5" t="s">
        <v>44</v>
      </c>
      <c r="C5" s="5" t="s">
        <v>48</v>
      </c>
      <c r="D5" s="5">
        <v>4</v>
      </c>
      <c r="E5" s="1">
        <v>0.01</v>
      </c>
      <c r="F5" s="7">
        <f t="shared" si="0"/>
        <v>0.04</v>
      </c>
      <c r="G5" s="8" t="s">
        <v>75</v>
      </c>
    </row>
    <row r="6" spans="1:7" s="1" customFormat="1" ht="19.95" customHeight="1">
      <c r="A6" s="4" t="s">
        <v>7</v>
      </c>
      <c r="B6" s="5" t="s">
        <v>43</v>
      </c>
      <c r="C6" s="5" t="s">
        <v>48</v>
      </c>
      <c r="D6" s="5">
        <v>2</v>
      </c>
      <c r="E6" s="1">
        <v>0.01</v>
      </c>
      <c r="F6" s="7">
        <f t="shared" si="0"/>
        <v>0.02</v>
      </c>
      <c r="G6" s="8" t="s">
        <v>76</v>
      </c>
    </row>
    <row r="7" spans="1:7" s="1" customFormat="1" ht="19.95" customHeight="1">
      <c r="A7" s="4" t="s">
        <v>8</v>
      </c>
      <c r="B7" s="5" t="s">
        <v>9</v>
      </c>
      <c r="C7" s="5" t="s">
        <v>49</v>
      </c>
      <c r="D7" s="5">
        <v>1</v>
      </c>
      <c r="E7" s="1">
        <v>1.84</v>
      </c>
      <c r="F7" s="7">
        <f t="shared" si="0"/>
        <v>1.84</v>
      </c>
      <c r="G7" s="8" t="s">
        <v>77</v>
      </c>
    </row>
    <row r="8" spans="1:7" s="1" customFormat="1" ht="19.95" customHeight="1">
      <c r="A8" s="4" t="s">
        <v>11</v>
      </c>
      <c r="B8" s="5" t="s">
        <v>10</v>
      </c>
      <c r="C8" s="5" t="s">
        <v>50</v>
      </c>
      <c r="D8" s="5">
        <v>1</v>
      </c>
      <c r="E8" s="1">
        <v>1.76</v>
      </c>
      <c r="F8" s="7">
        <f t="shared" si="0"/>
        <v>1.76</v>
      </c>
      <c r="G8" s="8" t="s">
        <v>78</v>
      </c>
    </row>
    <row r="9" spans="1:7" ht="19.95" customHeight="1">
      <c r="A9" s="4" t="s">
        <v>12</v>
      </c>
      <c r="B9" s="5" t="s">
        <v>13</v>
      </c>
      <c r="C9" s="5" t="s">
        <v>51</v>
      </c>
      <c r="D9" s="5">
        <v>2</v>
      </c>
      <c r="E9" s="7">
        <v>3.7999999999999999E-2</v>
      </c>
      <c r="F9" s="7">
        <f t="shared" si="0"/>
        <v>7.5999999999999998E-2</v>
      </c>
      <c r="G9" s="8" t="s">
        <v>79</v>
      </c>
    </row>
    <row r="10" spans="1:7" ht="19.95" customHeight="1">
      <c r="A10" s="4" t="s">
        <v>56</v>
      </c>
      <c r="B10" s="5" t="s">
        <v>14</v>
      </c>
      <c r="C10" s="5" t="s">
        <v>57</v>
      </c>
      <c r="D10" s="5">
        <v>1</v>
      </c>
      <c r="E10" s="7">
        <v>1.58</v>
      </c>
      <c r="F10" s="7">
        <f t="shared" si="0"/>
        <v>1.58</v>
      </c>
      <c r="G10" s="8" t="s">
        <v>80</v>
      </c>
    </row>
    <row r="11" spans="1:7" ht="19.95" customHeight="1">
      <c r="A11" s="4" t="s">
        <v>16</v>
      </c>
      <c r="B11" s="5" t="s">
        <v>15</v>
      </c>
      <c r="C11" s="5" t="s">
        <v>52</v>
      </c>
      <c r="D11" s="5">
        <v>1</v>
      </c>
      <c r="F11" s="7">
        <f t="shared" si="0"/>
        <v>1</v>
      </c>
      <c r="G11" s="8"/>
    </row>
    <row r="12" spans="1:7" ht="19.95" customHeight="1">
      <c r="A12" s="4" t="s">
        <v>17</v>
      </c>
      <c r="B12" s="5" t="s">
        <v>18</v>
      </c>
      <c r="C12" s="5" t="s">
        <v>53</v>
      </c>
      <c r="D12" s="5">
        <v>1</v>
      </c>
      <c r="E12">
        <v>4.68</v>
      </c>
      <c r="F12" s="7">
        <f t="shared" si="0"/>
        <v>4.68</v>
      </c>
      <c r="G12" s="8" t="s">
        <v>81</v>
      </c>
    </row>
    <row r="13" spans="1:7" ht="19.95" customHeight="1">
      <c r="A13" s="4" t="s">
        <v>19</v>
      </c>
      <c r="B13" s="5" t="s">
        <v>20</v>
      </c>
      <c r="C13" s="5" t="s">
        <v>54</v>
      </c>
      <c r="D13" s="5">
        <v>1</v>
      </c>
      <c r="E13">
        <v>2.5099999999999998</v>
      </c>
      <c r="F13" s="7">
        <f t="shared" si="0"/>
        <v>2.5099999999999998</v>
      </c>
      <c r="G13" s="8" t="s">
        <v>82</v>
      </c>
    </row>
    <row r="14" spans="1:7" ht="19.95" customHeight="1">
      <c r="A14" s="4" t="s">
        <v>21</v>
      </c>
      <c r="B14" s="5" t="s">
        <v>22</v>
      </c>
      <c r="C14" s="5" t="s">
        <v>55</v>
      </c>
      <c r="D14" s="5">
        <v>1</v>
      </c>
      <c r="E14">
        <v>0.13</v>
      </c>
      <c r="F14" s="7">
        <f t="shared" si="0"/>
        <v>0.13</v>
      </c>
      <c r="G14" s="8" t="s">
        <v>83</v>
      </c>
    </row>
    <row r="15" spans="1:7" ht="19.95" customHeight="1">
      <c r="A15" s="4" t="s">
        <v>24</v>
      </c>
      <c r="B15" s="5" t="s">
        <v>23</v>
      </c>
      <c r="C15" s="5" t="s">
        <v>58</v>
      </c>
      <c r="D15" s="5">
        <v>1</v>
      </c>
      <c r="F15" s="7">
        <f>PRODUCT(D15,E15)</f>
        <v>1</v>
      </c>
      <c r="G15" s="8"/>
    </row>
    <row r="16" spans="1:7" ht="19.95" customHeight="1">
      <c r="A16" s="4" t="s">
        <v>25</v>
      </c>
      <c r="B16" s="5" t="s">
        <v>26</v>
      </c>
      <c r="C16" s="5" t="s">
        <v>59</v>
      </c>
      <c r="D16" s="5">
        <v>1</v>
      </c>
      <c r="E16">
        <v>7.2999999999999995E-2</v>
      </c>
      <c r="F16" s="7">
        <f>PRODUCT(D16,E16)</f>
        <v>7.2999999999999995E-2</v>
      </c>
      <c r="G16" s="8" t="s">
        <v>84</v>
      </c>
    </row>
    <row r="17" spans="1:7" ht="19.95" customHeight="1">
      <c r="A17" s="4" t="s">
        <v>28</v>
      </c>
      <c r="B17" s="5" t="s">
        <v>27</v>
      </c>
      <c r="C17" s="5" t="s">
        <v>60</v>
      </c>
      <c r="D17" s="5">
        <v>1</v>
      </c>
      <c r="E17">
        <v>0.33</v>
      </c>
      <c r="F17" s="7">
        <f>PRODUCT(D17,E17)</f>
        <v>0.33</v>
      </c>
      <c r="G17" t="s">
        <v>85</v>
      </c>
    </row>
    <row r="18" spans="1:7" ht="19.95" customHeight="1">
      <c r="A18" s="4" t="s">
        <v>29</v>
      </c>
      <c r="B18" s="5" t="s">
        <v>38</v>
      </c>
      <c r="C18" s="5" t="s">
        <v>61</v>
      </c>
      <c r="D18" s="5">
        <v>2</v>
      </c>
      <c r="E18">
        <v>0.01</v>
      </c>
      <c r="F18" s="7">
        <f>PRODUCT(D18,E18)</f>
        <v>0.02</v>
      </c>
    </row>
    <row r="19" spans="1:7" ht="19.95" customHeight="1">
      <c r="A19" s="4" t="s">
        <v>30</v>
      </c>
      <c r="B19" s="5" t="s">
        <v>31</v>
      </c>
      <c r="C19" s="5" t="s">
        <v>62</v>
      </c>
      <c r="D19" s="5">
        <v>1</v>
      </c>
      <c r="E19">
        <v>2.6</v>
      </c>
      <c r="F19" s="7">
        <f>PRODUCT(D19,E19)</f>
        <v>2.6</v>
      </c>
      <c r="G19" t="s">
        <v>86</v>
      </c>
    </row>
    <row r="20" spans="1:7" ht="19.95" customHeight="1">
      <c r="A20" s="4" t="s">
        <v>32</v>
      </c>
      <c r="B20" s="5" t="s">
        <v>3</v>
      </c>
      <c r="C20" s="5" t="s">
        <v>63</v>
      </c>
      <c r="D20" s="5">
        <v>1</v>
      </c>
      <c r="E20">
        <v>3.86</v>
      </c>
      <c r="F20" s="7">
        <f>PRODUCT(D20,E20)</f>
        <v>3.86</v>
      </c>
      <c r="G20" s="8" t="s">
        <v>87</v>
      </c>
    </row>
    <row r="21" spans="1:7" ht="19.95" customHeight="1">
      <c r="A21" s="4" t="s">
        <v>33</v>
      </c>
      <c r="B21" s="5" t="s">
        <v>34</v>
      </c>
      <c r="C21" s="5" t="s">
        <v>64</v>
      </c>
      <c r="D21" s="5">
        <v>1</v>
      </c>
      <c r="E21">
        <v>0.22</v>
      </c>
      <c r="F21" s="7">
        <f>PRODUCT(D21,E21)</f>
        <v>0.22</v>
      </c>
      <c r="G21" t="s">
        <v>88</v>
      </c>
    </row>
    <row r="22" spans="1:7" ht="19.95" customHeight="1">
      <c r="A22" s="4" t="s">
        <v>36</v>
      </c>
      <c r="B22" s="5" t="s">
        <v>37</v>
      </c>
      <c r="C22" s="5" t="s">
        <v>48</v>
      </c>
      <c r="D22" s="5">
        <v>2</v>
      </c>
      <c r="E22">
        <v>0.01</v>
      </c>
      <c r="F22" s="7">
        <f>PRODUCT(D22,E22)</f>
        <v>0.02</v>
      </c>
    </row>
    <row r="23" spans="1:7" ht="19.95" customHeight="1">
      <c r="A23" s="4" t="s">
        <v>41</v>
      </c>
      <c r="B23" s="5" t="s">
        <v>42</v>
      </c>
      <c r="C23" s="5" t="s">
        <v>65</v>
      </c>
      <c r="D23" s="5">
        <v>1</v>
      </c>
      <c r="E23">
        <v>0.01</v>
      </c>
      <c r="F23" s="7">
        <f>PRODUCT(D23,E23)</f>
        <v>0.01</v>
      </c>
    </row>
    <row r="24" spans="1:7" ht="19.95" customHeight="1">
      <c r="A24" s="4" t="s">
        <v>46</v>
      </c>
      <c r="B24" s="5" t="s">
        <v>66</v>
      </c>
      <c r="C24" s="5" t="s">
        <v>47</v>
      </c>
      <c r="D24" s="5">
        <v>2</v>
      </c>
      <c r="E24">
        <v>0.01</v>
      </c>
      <c r="F24" s="7">
        <f>PRODUCT(D24,E24)</f>
        <v>0.02</v>
      </c>
    </row>
    <row r="25" spans="1:7" ht="19.95" customHeight="1">
      <c r="A25" s="4" t="s">
        <v>70</v>
      </c>
      <c r="B25" s="5"/>
      <c r="C25" s="5"/>
      <c r="D25" s="5">
        <v>1</v>
      </c>
      <c r="E25">
        <v>4.2</v>
      </c>
      <c r="F25" s="7">
        <f>PRODUCT(D25,E25)</f>
        <v>4.2</v>
      </c>
      <c r="G25" t="s">
        <v>89</v>
      </c>
    </row>
    <row r="26" spans="1:7" ht="19.95" customHeight="1">
      <c r="F26" s="7">
        <f>SUM(F2:F25)</f>
        <v>26.224999999999998</v>
      </c>
    </row>
  </sheetData>
  <phoneticPr fontId="4" type="noConversion"/>
  <hyperlinks>
    <hyperlink ref="G2" r:id="rId1" xr:uid="{B0FFB4A5-EA4F-4447-A607-C0CD7BDF5FEF}"/>
    <hyperlink ref="G3" r:id="rId2" xr:uid="{A2FD41F1-1C9C-43EC-B1F0-4CF04F20DCE7}"/>
    <hyperlink ref="G4" r:id="rId3" xr:uid="{78D9234B-CA02-4209-8FAF-F425202BCFD9}"/>
    <hyperlink ref="G5" r:id="rId4" xr:uid="{79A1E799-BE72-4ACE-A7AB-B8889C93DF64}"/>
    <hyperlink ref="G6" r:id="rId5" xr:uid="{5C63FD42-6A04-4D0F-AE6E-1EB3AE1632AD}"/>
    <hyperlink ref="G7" r:id="rId6" xr:uid="{859D98F0-6BB6-42E9-9081-591C07B73C0F}"/>
    <hyperlink ref="G8" r:id="rId7" xr:uid="{76B5C1F9-5AC7-4E88-912C-DE27892965BB}"/>
    <hyperlink ref="G9" r:id="rId8" xr:uid="{676A699F-C536-4853-91AC-0D26A7CCA168}"/>
    <hyperlink ref="G10" r:id="rId9" xr:uid="{93CBB097-CED2-4144-A95C-6D454CE80203}"/>
    <hyperlink ref="G12" r:id="rId10" display="https://www.amazon.in/Oceanlabz-MAX98357A-Amplifier-Microphone-Raspberry/dp/B0GT4N822M/ref=asc_df_B0GT4N822M?mcid=584aab94cf2a3b19b3e245cc246ae693&amp;tag=googleshopdes-21&amp;linkCode=df0&amp;hvadid=709857096849&amp;hvpos=&amp;hvnetw=g&amp;hvrand=6434147541182097270&amp;hvpone=&amp;hvptwo=&amp;hvqmt=&amp;hvdev=c&amp;hvdvcmdl=&amp;hvlocint=&amp;hvlocphy=9061677&amp;hvtargid=pla-2479930223916&amp;psc=1&amp;hvocijid=6434147541182097270-B0GT4N822M-&amp;hvexpln=0&amp;gad_source=1" xr:uid="{950FF032-70B5-4B8C-8397-11B403D2738B}"/>
    <hyperlink ref="G13" r:id="rId11" xr:uid="{AB633D34-9295-401A-96A5-586D8A741004}"/>
    <hyperlink ref="G14" r:id="rId12" xr:uid="{7217C949-AEDE-45FF-9FB8-16FC768FFDDB}"/>
    <hyperlink ref="G16" r:id="rId13" xr:uid="{137552A7-3B8F-444F-8ABF-D5DE87D77CC7}"/>
    <hyperlink ref="G20" r:id="rId14" xr:uid="{B445C796-D4FD-4D59-8861-F9025978F13F}"/>
  </hyperlinks>
  <pageMargins left="0.75" right="0.75" top="1" bottom="1" header="0.51180555555555496" footer="0.51180555555555496"/>
  <pageSetup paperSize="9" orientation="portrait" horizontalDpi="300" verticalDpi="300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AlAoTach Mishra</cp:lastModifiedBy>
  <cp:revision>2</cp:revision>
  <dcterms:created xsi:type="dcterms:W3CDTF">2019-07-31T07:14:00Z</dcterms:created>
  <dcterms:modified xsi:type="dcterms:W3CDTF">2026-05-15T20:40:48Z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</Properties>
</file>